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DM3PEPF00015BDE\EXCELCNV\0ffb2d98-deb5-423a-9caa-19b40a007d17\"/>
    </mc:Choice>
  </mc:AlternateContent>
  <xr:revisionPtr revIDLastSave="50" documentId="8_{AE81C34E-566B-4FF4-A5E2-28C81B7BFC4E}" xr6:coauthVersionLast="47" xr6:coauthVersionMax="47" xr10:uidLastSave="{AC946F53-7581-48B5-8D45-D57DFDA92AED}"/>
  <bookViews>
    <workbookView xWindow="-60" yWindow="-60" windowWidth="15480" windowHeight="11640" activeTab="2" xr2:uid="{877E0C1E-7850-480F-AE3D-1BCE8B8687CD}"/>
  </bookViews>
  <sheets>
    <sheet name="Raw Data" sheetId="3" r:id="rId1"/>
    <sheet name="Analysis 1" sheetId="1" r:id="rId2"/>
    <sheet name="Analysis 2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2" l="1"/>
  <c r="B4" i="2"/>
  <c r="B3" i="2"/>
  <c r="B2" i="2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2" i="1"/>
</calcChain>
</file>

<file path=xl/sharedStrings.xml><?xml version="1.0" encoding="utf-8"?>
<sst xmlns="http://schemas.openxmlformats.org/spreadsheetml/2006/main" count="10" uniqueCount="8">
  <si>
    <t>YearsExperience</t>
  </si>
  <si>
    <t>Salary</t>
  </si>
  <si>
    <t>Experience Level</t>
  </si>
  <si>
    <t>Entry</t>
  </si>
  <si>
    <t>Mid</t>
  </si>
  <si>
    <t>Senior</t>
  </si>
  <si>
    <t>Advanced</t>
  </si>
  <si>
    <t>Average salary increases consistently with experience level, with the largest jump occurring between Mid and Senior levels, indicating that experience plays a significant role in salary growth.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</si>
</sst>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/>
    <xf numFmtId="164" fontId="16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0" fontId="0" fillId="0" borderId="10" xfId="0" applyBorder="1"/>
    <xf numFmtId="164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'Analysis 1'!$B$1</c:f>
              <c:strCache>
                <c:ptCount val="1"/>
                <c:pt idx="0">
                  <c:v>Salary</c:v>
                </c:pt>
              </c:strCache>
            </c:strRef>
          </c:tx>
          <c:spPr>
            <a:ln w="19050" cap="rnd">
              <a:solidFill>
                <a:srgbClr val="FFFFFF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637CEF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'Analysis 1'!$A$2:$A$31</c:f>
              <c:numCache>
                <c:formatCode>General</c:formatCode>
                <c:ptCount val="30"/>
                <c:pt idx="0">
                  <c:v>1.1000000000000001</c:v>
                </c:pt>
                <c:pt idx="1">
                  <c:v>1.3</c:v>
                </c:pt>
                <c:pt idx="2">
                  <c:v>1.5</c:v>
                </c:pt>
                <c:pt idx="3">
                  <c:v>2</c:v>
                </c:pt>
                <c:pt idx="4">
                  <c:v>2.2000000000000002</c:v>
                </c:pt>
                <c:pt idx="5">
                  <c:v>2.9</c:v>
                </c:pt>
                <c:pt idx="6">
                  <c:v>3</c:v>
                </c:pt>
                <c:pt idx="7">
                  <c:v>3.2</c:v>
                </c:pt>
                <c:pt idx="8">
                  <c:v>3.2</c:v>
                </c:pt>
                <c:pt idx="9">
                  <c:v>3.7</c:v>
                </c:pt>
                <c:pt idx="10">
                  <c:v>3.9</c:v>
                </c:pt>
                <c:pt idx="11">
                  <c:v>4</c:v>
                </c:pt>
                <c:pt idx="12">
                  <c:v>4</c:v>
                </c:pt>
                <c:pt idx="13">
                  <c:v>4.0999999999999996</c:v>
                </c:pt>
                <c:pt idx="14">
                  <c:v>4.5</c:v>
                </c:pt>
                <c:pt idx="15">
                  <c:v>4.9000000000000004</c:v>
                </c:pt>
                <c:pt idx="16">
                  <c:v>5.0999999999999996</c:v>
                </c:pt>
                <c:pt idx="17">
                  <c:v>5.3</c:v>
                </c:pt>
                <c:pt idx="18">
                  <c:v>5.9</c:v>
                </c:pt>
                <c:pt idx="19">
                  <c:v>6</c:v>
                </c:pt>
                <c:pt idx="20">
                  <c:v>6.8</c:v>
                </c:pt>
                <c:pt idx="21">
                  <c:v>7.1</c:v>
                </c:pt>
                <c:pt idx="22">
                  <c:v>7.9</c:v>
                </c:pt>
                <c:pt idx="23">
                  <c:v>8.1999999999999993</c:v>
                </c:pt>
                <c:pt idx="24">
                  <c:v>8.6999999999999993</c:v>
                </c:pt>
                <c:pt idx="25">
                  <c:v>9</c:v>
                </c:pt>
                <c:pt idx="26">
                  <c:v>9.5</c:v>
                </c:pt>
                <c:pt idx="27">
                  <c:v>9.6</c:v>
                </c:pt>
                <c:pt idx="28">
                  <c:v>10.3</c:v>
                </c:pt>
                <c:pt idx="29">
                  <c:v>10.5</c:v>
                </c:pt>
              </c:numCache>
            </c:numRef>
          </c:xVal>
          <c:yVal>
            <c:numRef>
              <c:f>'Analysis 1'!$B$2:$B$31</c:f>
              <c:numCache>
                <c:formatCode>"$"#,##0.00</c:formatCode>
                <c:ptCount val="30"/>
                <c:pt idx="0">
                  <c:v>39343</c:v>
                </c:pt>
                <c:pt idx="1">
                  <c:v>46205</c:v>
                </c:pt>
                <c:pt idx="2">
                  <c:v>37731</c:v>
                </c:pt>
                <c:pt idx="3">
                  <c:v>43525</c:v>
                </c:pt>
                <c:pt idx="4">
                  <c:v>39891</c:v>
                </c:pt>
                <c:pt idx="5">
                  <c:v>56642</c:v>
                </c:pt>
                <c:pt idx="6">
                  <c:v>60150</c:v>
                </c:pt>
                <c:pt idx="7">
                  <c:v>54445</c:v>
                </c:pt>
                <c:pt idx="8">
                  <c:v>64445</c:v>
                </c:pt>
                <c:pt idx="9">
                  <c:v>57189</c:v>
                </c:pt>
                <c:pt idx="10">
                  <c:v>63218</c:v>
                </c:pt>
                <c:pt idx="11">
                  <c:v>55794</c:v>
                </c:pt>
                <c:pt idx="12">
                  <c:v>56957</c:v>
                </c:pt>
                <c:pt idx="13">
                  <c:v>57081</c:v>
                </c:pt>
                <c:pt idx="14">
                  <c:v>61111</c:v>
                </c:pt>
                <c:pt idx="15">
                  <c:v>67938</c:v>
                </c:pt>
                <c:pt idx="16">
                  <c:v>66029</c:v>
                </c:pt>
                <c:pt idx="17">
                  <c:v>83088</c:v>
                </c:pt>
                <c:pt idx="18">
                  <c:v>81363</c:v>
                </c:pt>
                <c:pt idx="19">
                  <c:v>93940</c:v>
                </c:pt>
                <c:pt idx="20">
                  <c:v>91738</c:v>
                </c:pt>
                <c:pt idx="21">
                  <c:v>98273</c:v>
                </c:pt>
                <c:pt idx="22">
                  <c:v>101302</c:v>
                </c:pt>
                <c:pt idx="23">
                  <c:v>113812</c:v>
                </c:pt>
                <c:pt idx="24">
                  <c:v>109431</c:v>
                </c:pt>
                <c:pt idx="25">
                  <c:v>105582</c:v>
                </c:pt>
                <c:pt idx="26">
                  <c:v>116969</c:v>
                </c:pt>
                <c:pt idx="27">
                  <c:v>112635</c:v>
                </c:pt>
                <c:pt idx="28">
                  <c:v>122391</c:v>
                </c:pt>
                <c:pt idx="29">
                  <c:v>121872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B2-4739-95B0-6A9B589373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5727367"/>
        <c:axId val="237475335"/>
      </c:scatterChart>
      <c:valAx>
        <c:axId val="1915727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7475335"/>
        <c:crosses val="autoZero"/>
        <c:crossBetween val="midCat"/>
      </c:valAx>
      <c:valAx>
        <c:axId val="237475335"/>
        <c:scaling>
          <c:orientation val="minMax"/>
        </c:scaling>
        <c:delete val="0"/>
        <c:axPos val="l"/>
        <c:numFmt formatCode="&quot;$&quot;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57273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Salary by Experience level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A9D08E"/>
            </a:solidFill>
            <a:ln>
              <a:noFill/>
            </a:ln>
            <a:effectLst/>
          </c:spPr>
          <c:invertIfNegative val="0"/>
          <c:cat>
            <c:strRef>
              <c:f>'Analysis 2'!$A$2:$A$5</c:f>
              <c:strCache>
                <c:ptCount val="4"/>
                <c:pt idx="0">
                  <c:v>Entry</c:v>
                </c:pt>
                <c:pt idx="1">
                  <c:v>Mid</c:v>
                </c:pt>
                <c:pt idx="2">
                  <c:v>Senior</c:v>
                </c:pt>
                <c:pt idx="3">
                  <c:v>Advanced</c:v>
                </c:pt>
              </c:strCache>
            </c:strRef>
          </c:cat>
          <c:val>
            <c:numRef>
              <c:f>'Analysis 2'!$B$2:$B$5</c:f>
              <c:numCache>
                <c:formatCode>"$"#,##0.00</c:formatCode>
                <c:ptCount val="4"/>
                <c:pt idx="0">
                  <c:v>41093</c:v>
                </c:pt>
                <c:pt idx="1">
                  <c:v>56798.923076923078</c:v>
                </c:pt>
                <c:pt idx="2">
                  <c:v>87961.857142857145</c:v>
                </c:pt>
                <c:pt idx="3">
                  <c:v>114670.28571428571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96-4F3B-AEB0-19130C39C5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1162247"/>
        <c:axId val="1361164295"/>
      </c:barChart>
      <c:catAx>
        <c:axId val="1361162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164295"/>
        <c:crosses val="autoZero"/>
        <c:auto val="1"/>
        <c:lblAlgn val="ctr"/>
        <c:lblOffset val="100"/>
        <c:noMultiLvlLbl val="0"/>
      </c:catAx>
      <c:valAx>
        <c:axId val="1361164295"/>
        <c:scaling>
          <c:orientation val="minMax"/>
        </c:scaling>
        <c:delete val="0"/>
        <c:axPos val="l"/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162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219075</xdr:colOff>
      <xdr:row>1</xdr:row>
      <xdr:rowOff>76200</xdr:rowOff>
    </xdr:from>
    <xdr:to>
      <xdr:col>12</xdr:col>
      <xdr:colOff>523875</xdr:colOff>
      <xdr:row>15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30348E-B229-F9EB-6A7C-78F3F5F55A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</xdr:colOff>
      <xdr:row>0</xdr:row>
      <xdr:rowOff>171450</xdr:rowOff>
    </xdr:from>
    <xdr:to>
      <xdr:col>12</xdr:col>
      <xdr:colOff>361950</xdr:colOff>
      <xdr:row>15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B9B7E4-7163-347F-8FAF-A7F0ED7F80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5B36A-B756-4752-8207-0EA5194E07C6}">
  <dimension ref="A1:B31"/>
  <sheetViews>
    <sheetView workbookViewId="0">
      <selection sqref="A1:B31"/>
    </sheetView>
  </sheetViews>
  <sheetFormatPr defaultRowHeight="15"/>
  <sheetData>
    <row r="1" spans="1:2">
      <c r="A1" s="2" t="s">
        <v>0</v>
      </c>
      <c r="B1" s="2" t="s">
        <v>1</v>
      </c>
    </row>
    <row r="2" spans="1:2">
      <c r="A2" s="1">
        <v>1.1000000000000001</v>
      </c>
      <c r="B2" s="1">
        <v>39343</v>
      </c>
    </row>
    <row r="3" spans="1:2">
      <c r="A3" s="1">
        <v>1.3</v>
      </c>
      <c r="B3" s="1">
        <v>46205</v>
      </c>
    </row>
    <row r="4" spans="1:2">
      <c r="A4" s="1">
        <v>1.5</v>
      </c>
      <c r="B4" s="1">
        <v>37731</v>
      </c>
    </row>
    <row r="5" spans="1:2">
      <c r="A5" s="1">
        <v>2</v>
      </c>
      <c r="B5" s="1">
        <v>43525</v>
      </c>
    </row>
    <row r="6" spans="1:2">
      <c r="A6" s="1">
        <v>2.2000000000000002</v>
      </c>
      <c r="B6" s="1">
        <v>39891</v>
      </c>
    </row>
    <row r="7" spans="1:2">
      <c r="A7" s="1">
        <v>2.9</v>
      </c>
      <c r="B7" s="1">
        <v>56642</v>
      </c>
    </row>
    <row r="8" spans="1:2">
      <c r="A8" s="1">
        <v>3</v>
      </c>
      <c r="B8" s="1">
        <v>60150</v>
      </c>
    </row>
    <row r="9" spans="1:2">
      <c r="A9" s="1">
        <v>3.2</v>
      </c>
      <c r="B9" s="1">
        <v>54445</v>
      </c>
    </row>
    <row r="10" spans="1:2">
      <c r="A10" s="1">
        <v>3.2</v>
      </c>
      <c r="B10" s="1">
        <v>64445</v>
      </c>
    </row>
    <row r="11" spans="1:2">
      <c r="A11" s="1">
        <v>3.7</v>
      </c>
      <c r="B11" s="1">
        <v>57189</v>
      </c>
    </row>
    <row r="12" spans="1:2">
      <c r="A12" s="1">
        <v>3.9</v>
      </c>
      <c r="B12" s="1">
        <v>63218</v>
      </c>
    </row>
    <row r="13" spans="1:2">
      <c r="A13" s="1">
        <v>4</v>
      </c>
      <c r="B13" s="1">
        <v>55794</v>
      </c>
    </row>
    <row r="14" spans="1:2">
      <c r="A14" s="1">
        <v>4</v>
      </c>
      <c r="B14" s="1">
        <v>56957</v>
      </c>
    </row>
    <row r="15" spans="1:2">
      <c r="A15" s="1">
        <v>4.0999999999999996</v>
      </c>
      <c r="B15" s="1">
        <v>57081</v>
      </c>
    </row>
    <row r="16" spans="1:2">
      <c r="A16" s="1">
        <v>4.5</v>
      </c>
      <c r="B16" s="1">
        <v>61111</v>
      </c>
    </row>
    <row r="17" spans="1:2">
      <c r="A17" s="1">
        <v>4.9000000000000004</v>
      </c>
      <c r="B17" s="1">
        <v>67938</v>
      </c>
    </row>
    <row r="18" spans="1:2">
      <c r="A18" s="1">
        <v>5.0999999999999996</v>
      </c>
      <c r="B18" s="1">
        <v>66029</v>
      </c>
    </row>
    <row r="19" spans="1:2">
      <c r="A19" s="1">
        <v>5.3</v>
      </c>
      <c r="B19" s="1">
        <v>83088</v>
      </c>
    </row>
    <row r="20" spans="1:2">
      <c r="A20" s="1">
        <v>5.9</v>
      </c>
      <c r="B20" s="1">
        <v>81363</v>
      </c>
    </row>
    <row r="21" spans="1:2">
      <c r="A21" s="1">
        <v>6</v>
      </c>
      <c r="B21" s="1">
        <v>93940</v>
      </c>
    </row>
    <row r="22" spans="1:2">
      <c r="A22" s="1">
        <v>6.8</v>
      </c>
      <c r="B22" s="1">
        <v>91738</v>
      </c>
    </row>
    <row r="23" spans="1:2">
      <c r="A23" s="1">
        <v>7.1</v>
      </c>
      <c r="B23" s="1">
        <v>98273</v>
      </c>
    </row>
    <row r="24" spans="1:2">
      <c r="A24" s="1">
        <v>7.9</v>
      </c>
      <c r="B24" s="1">
        <v>101302</v>
      </c>
    </row>
    <row r="25" spans="1:2">
      <c r="A25" s="1">
        <v>8.1999999999999993</v>
      </c>
      <c r="B25" s="1">
        <v>113812</v>
      </c>
    </row>
    <row r="26" spans="1:2">
      <c r="A26" s="1">
        <v>8.6999999999999993</v>
      </c>
      <c r="B26" s="1">
        <v>109431</v>
      </c>
    </row>
    <row r="27" spans="1:2">
      <c r="A27" s="1">
        <v>9</v>
      </c>
      <c r="B27" s="1">
        <v>105582</v>
      </c>
    </row>
    <row r="28" spans="1:2">
      <c r="A28" s="1">
        <v>9.5</v>
      </c>
      <c r="B28" s="1">
        <v>116969</v>
      </c>
    </row>
    <row r="29" spans="1:2">
      <c r="A29" s="1">
        <v>9.6</v>
      </c>
      <c r="B29" s="1">
        <v>112635</v>
      </c>
    </row>
    <row r="30" spans="1:2">
      <c r="A30" s="1">
        <v>10.3</v>
      </c>
      <c r="B30" s="1">
        <v>122391</v>
      </c>
    </row>
    <row r="31" spans="1:2">
      <c r="A31" s="1">
        <v>10.5</v>
      </c>
      <c r="B31" s="1">
        <v>121872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1C8FD-1906-4E4A-A978-7DD12246BEF6}">
  <dimension ref="A1:C31"/>
  <sheetViews>
    <sheetView workbookViewId="0">
      <selection activeCell="C14" sqref="C14"/>
    </sheetView>
  </sheetViews>
  <sheetFormatPr defaultRowHeight="15"/>
  <cols>
    <col min="1" max="1" width="15.5703125" bestFit="1" customWidth="1"/>
    <col min="2" max="2" width="12" style="6" bestFit="1" customWidth="1"/>
    <col min="3" max="3" width="15.85546875" bestFit="1" customWidth="1"/>
  </cols>
  <sheetData>
    <row r="1" spans="1:3">
      <c r="A1" s="2" t="s">
        <v>0</v>
      </c>
      <c r="B1" s="4" t="s">
        <v>1</v>
      </c>
      <c r="C1" s="3" t="s">
        <v>2</v>
      </c>
    </row>
    <row r="2" spans="1:3">
      <c r="A2" s="1">
        <v>1.1000000000000001</v>
      </c>
      <c r="B2" s="5">
        <v>39343</v>
      </c>
      <c r="C2" t="str">
        <f>IF(A2&lt;2,"Entry",IF(A2&lt;5,"Mid",IF(A2&lt;8,"Senior","Expert")))</f>
        <v>Entry</v>
      </c>
    </row>
    <row r="3" spans="1:3">
      <c r="A3" s="1">
        <v>1.3</v>
      </c>
      <c r="B3" s="5">
        <v>46205</v>
      </c>
      <c r="C3" t="str">
        <f t="shared" ref="C3:C31" si="0">IF(A3&lt;2,"Entry",IF(A3&lt;5,"Mid",IF(A3&lt;8,"Senior","Expert")))</f>
        <v>Entry</v>
      </c>
    </row>
    <row r="4" spans="1:3">
      <c r="A4" s="1">
        <v>1.5</v>
      </c>
      <c r="B4" s="5">
        <v>37731</v>
      </c>
      <c r="C4" t="str">
        <f t="shared" si="0"/>
        <v>Entry</v>
      </c>
    </row>
    <row r="5" spans="1:3">
      <c r="A5" s="1">
        <v>2</v>
      </c>
      <c r="B5" s="5">
        <v>43525</v>
      </c>
      <c r="C5" t="str">
        <f t="shared" si="0"/>
        <v>Mid</v>
      </c>
    </row>
    <row r="6" spans="1:3">
      <c r="A6" s="1">
        <v>2.2000000000000002</v>
      </c>
      <c r="B6" s="5">
        <v>39891</v>
      </c>
      <c r="C6" t="str">
        <f t="shared" si="0"/>
        <v>Mid</v>
      </c>
    </row>
    <row r="7" spans="1:3">
      <c r="A7" s="1">
        <v>2.9</v>
      </c>
      <c r="B7" s="5">
        <v>56642</v>
      </c>
      <c r="C7" t="str">
        <f t="shared" si="0"/>
        <v>Mid</v>
      </c>
    </row>
    <row r="8" spans="1:3">
      <c r="A8" s="1">
        <v>3</v>
      </c>
      <c r="B8" s="5">
        <v>60150</v>
      </c>
      <c r="C8" t="str">
        <f t="shared" si="0"/>
        <v>Mid</v>
      </c>
    </row>
    <row r="9" spans="1:3">
      <c r="A9" s="1">
        <v>3.2</v>
      </c>
      <c r="B9" s="5">
        <v>54445</v>
      </c>
      <c r="C9" t="str">
        <f t="shared" si="0"/>
        <v>Mid</v>
      </c>
    </row>
    <row r="10" spans="1:3">
      <c r="A10" s="1">
        <v>3.2</v>
      </c>
      <c r="B10" s="5">
        <v>64445</v>
      </c>
      <c r="C10" t="str">
        <f t="shared" si="0"/>
        <v>Mid</v>
      </c>
    </row>
    <row r="11" spans="1:3">
      <c r="A11" s="1">
        <v>3.7</v>
      </c>
      <c r="B11" s="5">
        <v>57189</v>
      </c>
      <c r="C11" t="str">
        <f t="shared" si="0"/>
        <v>Mid</v>
      </c>
    </row>
    <row r="12" spans="1:3">
      <c r="A12" s="1">
        <v>3.9</v>
      </c>
      <c r="B12" s="5">
        <v>63218</v>
      </c>
      <c r="C12" t="str">
        <f t="shared" si="0"/>
        <v>Mid</v>
      </c>
    </row>
    <row r="13" spans="1:3">
      <c r="A13" s="1">
        <v>4</v>
      </c>
      <c r="B13" s="5">
        <v>55794</v>
      </c>
      <c r="C13" t="str">
        <f t="shared" si="0"/>
        <v>Mid</v>
      </c>
    </row>
    <row r="14" spans="1:3">
      <c r="A14" s="1">
        <v>4</v>
      </c>
      <c r="B14" s="5">
        <v>56957</v>
      </c>
      <c r="C14" t="str">
        <f t="shared" si="0"/>
        <v>Mid</v>
      </c>
    </row>
    <row r="15" spans="1:3">
      <c r="A15" s="1">
        <v>4.0999999999999996</v>
      </c>
      <c r="B15" s="5">
        <v>57081</v>
      </c>
      <c r="C15" t="str">
        <f t="shared" si="0"/>
        <v>Mid</v>
      </c>
    </row>
    <row r="16" spans="1:3">
      <c r="A16" s="1">
        <v>4.5</v>
      </c>
      <c r="B16" s="5">
        <v>61111</v>
      </c>
      <c r="C16" t="str">
        <f t="shared" si="0"/>
        <v>Mid</v>
      </c>
    </row>
    <row r="17" spans="1:3">
      <c r="A17" s="1">
        <v>4.9000000000000004</v>
      </c>
      <c r="B17" s="5">
        <v>67938</v>
      </c>
      <c r="C17" t="str">
        <f t="shared" si="0"/>
        <v>Mid</v>
      </c>
    </row>
    <row r="18" spans="1:3">
      <c r="A18" s="1">
        <v>5.0999999999999996</v>
      </c>
      <c r="B18" s="5">
        <v>66029</v>
      </c>
      <c r="C18" t="str">
        <f t="shared" si="0"/>
        <v>Senior</v>
      </c>
    </row>
    <row r="19" spans="1:3">
      <c r="A19" s="1">
        <v>5.3</v>
      </c>
      <c r="B19" s="5">
        <v>83088</v>
      </c>
      <c r="C19" t="str">
        <f t="shared" si="0"/>
        <v>Senior</v>
      </c>
    </row>
    <row r="20" spans="1:3">
      <c r="A20" s="1">
        <v>5.9</v>
      </c>
      <c r="B20" s="5">
        <v>81363</v>
      </c>
      <c r="C20" t="str">
        <f t="shared" si="0"/>
        <v>Senior</v>
      </c>
    </row>
    <row r="21" spans="1:3">
      <c r="A21" s="1">
        <v>6</v>
      </c>
      <c r="B21" s="5">
        <v>93940</v>
      </c>
      <c r="C21" t="str">
        <f t="shared" si="0"/>
        <v>Senior</v>
      </c>
    </row>
    <row r="22" spans="1:3">
      <c r="A22" s="1">
        <v>6.8</v>
      </c>
      <c r="B22" s="5">
        <v>91738</v>
      </c>
      <c r="C22" t="str">
        <f t="shared" si="0"/>
        <v>Senior</v>
      </c>
    </row>
    <row r="23" spans="1:3">
      <c r="A23" s="1">
        <v>7.1</v>
      </c>
      <c r="B23" s="5">
        <v>98273</v>
      </c>
      <c r="C23" t="str">
        <f t="shared" si="0"/>
        <v>Senior</v>
      </c>
    </row>
    <row r="24" spans="1:3">
      <c r="A24" s="1">
        <v>7.9</v>
      </c>
      <c r="B24" s="5">
        <v>101302</v>
      </c>
      <c r="C24" t="str">
        <f t="shared" si="0"/>
        <v>Senior</v>
      </c>
    </row>
    <row r="25" spans="1:3">
      <c r="A25" s="1">
        <v>8.1999999999999993</v>
      </c>
      <c r="B25" s="5">
        <v>113812</v>
      </c>
      <c r="C25" t="str">
        <f t="shared" si="0"/>
        <v>Expert</v>
      </c>
    </row>
    <row r="26" spans="1:3">
      <c r="A26" s="1">
        <v>8.6999999999999993</v>
      </c>
      <c r="B26" s="5">
        <v>109431</v>
      </c>
      <c r="C26" t="str">
        <f t="shared" si="0"/>
        <v>Expert</v>
      </c>
    </row>
    <row r="27" spans="1:3">
      <c r="A27" s="1">
        <v>9</v>
      </c>
      <c r="B27" s="5">
        <v>105582</v>
      </c>
      <c r="C27" t="str">
        <f t="shared" si="0"/>
        <v>Expert</v>
      </c>
    </row>
    <row r="28" spans="1:3">
      <c r="A28" s="1">
        <v>9.5</v>
      </c>
      <c r="B28" s="5">
        <v>116969</v>
      </c>
      <c r="C28" t="str">
        <f t="shared" si="0"/>
        <v>Expert</v>
      </c>
    </row>
    <row r="29" spans="1:3">
      <c r="A29" s="1">
        <v>9.6</v>
      </c>
      <c r="B29" s="5">
        <v>112635</v>
      </c>
      <c r="C29" t="str">
        <f t="shared" si="0"/>
        <v>Expert</v>
      </c>
    </row>
    <row r="30" spans="1:3">
      <c r="A30" s="1">
        <v>10.3</v>
      </c>
      <c r="B30" s="5">
        <v>122391</v>
      </c>
      <c r="C30" t="str">
        <f t="shared" si="0"/>
        <v>Expert</v>
      </c>
    </row>
    <row r="31" spans="1:3">
      <c r="A31" s="1">
        <v>10.5</v>
      </c>
      <c r="B31" s="5">
        <v>121872</v>
      </c>
      <c r="C31" t="str">
        <f t="shared" si="0"/>
        <v>Expert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2FCDB-17C1-43D7-BB30-BD8A499C9CBE}">
  <dimension ref="A2:B18"/>
  <sheetViews>
    <sheetView tabSelected="1" workbookViewId="0">
      <selection activeCell="B2" sqref="B2"/>
    </sheetView>
  </sheetViews>
  <sheetFormatPr defaultRowHeight="15"/>
  <cols>
    <col min="2" max="2" width="12" style="6" bestFit="1" customWidth="1"/>
  </cols>
  <sheetData>
    <row r="2" spans="1:2">
      <c r="A2" s="7" t="s">
        <v>3</v>
      </c>
      <c r="B2" s="8">
        <f>AVERAGEIF('Analysis 1'!C:C,"Entry",'Analysis 1'!B:B)</f>
        <v>41093</v>
      </c>
    </row>
    <row r="3" spans="1:2">
      <c r="A3" s="7" t="s">
        <v>4</v>
      </c>
      <c r="B3" s="8">
        <f>AVERAGEIF('Analysis 1'!C:C,"Mid",'Analysis 1'!B:B)</f>
        <v>56798.923076923078</v>
      </c>
    </row>
    <row r="4" spans="1:2">
      <c r="A4" s="7" t="s">
        <v>5</v>
      </c>
      <c r="B4" s="8">
        <f ca="1">AVERAGEIF('Analysis 1'!C:C,"Senior",'Analysis 1'!B1)</f>
        <v>87961.857142857145</v>
      </c>
    </row>
    <row r="5" spans="1:2">
      <c r="A5" s="7" t="s">
        <v>6</v>
      </c>
      <c r="B5" s="8">
        <f>AVERAGEIF('Analysis 1'!C:C,"Expert",'Analysis 1'!B:B)</f>
        <v>114670.28571428571</v>
      </c>
    </row>
    <row r="18" spans="2:2">
      <c r="B18" s="6" t="s">
        <v>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Karzin Tamang</cp:lastModifiedBy>
  <cp:revision/>
  <dcterms:created xsi:type="dcterms:W3CDTF">2026-01-01T21:00:58Z</dcterms:created>
  <dcterms:modified xsi:type="dcterms:W3CDTF">2026-01-01T21:52:00Z</dcterms:modified>
  <cp:category/>
  <cp:contentStatus/>
</cp:coreProperties>
</file>